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led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0"/>
    <numFmt numFmtId="165" formatCode="0.000"/>
    <numFmt numFmtId="166" formatCode="0.000000"/>
    <numFmt numFmtId="167" formatCode="0.0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404040"/>
      </patternFill>
    </fill>
    <fill>
      <patternFill patternType="solid">
        <fgColor rgb="00D9E1F2"/>
      </patternFill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/>
    </xf>
    <xf numFmtId="2" fontId="0" fillId="5" borderId="1" applyAlignment="1" pivotButton="0" quotePrefix="0" xfId="0">
      <alignment horizontal="right"/>
    </xf>
    <xf numFmtId="164" fontId="0" fillId="5" borderId="1" applyAlignment="1" pivotButton="0" quotePrefix="0" xfId="0">
      <alignment horizontal="right"/>
    </xf>
    <xf numFmtId="165" fontId="0" fillId="5" borderId="1" applyAlignment="1" pivotButton="0" quotePrefix="0" xfId="0">
      <alignment horizontal="right"/>
    </xf>
    <xf numFmtId="166" fontId="0" fillId="5" borderId="1" applyAlignment="1" pivotButton="0" quotePrefix="0" xfId="0">
      <alignment horizontal="right"/>
    </xf>
    <xf numFmtId="11" fontId="0" fillId="5" borderId="1" applyAlignment="1" pivotButton="0" quotePrefix="0" xfId="0">
      <alignment horizontal="right"/>
    </xf>
    <xf numFmtId="0" fontId="0" fillId="6" borderId="1" applyAlignment="1" pivotButton="0" quotePrefix="0" xfId="0">
      <alignment horizontal="center"/>
    </xf>
    <xf numFmtId="2" fontId="0" fillId="6" borderId="1" applyAlignment="1" pivotButton="0" quotePrefix="0" xfId="0">
      <alignment horizontal="right"/>
    </xf>
    <xf numFmtId="164" fontId="0" fillId="6" borderId="1" applyAlignment="1" pivotButton="0" quotePrefix="0" xfId="0">
      <alignment horizontal="right"/>
    </xf>
    <xf numFmtId="165" fontId="0" fillId="6" borderId="1" applyAlignment="1" pivotButton="0" quotePrefix="0" xfId="0">
      <alignment horizontal="right"/>
    </xf>
    <xf numFmtId="166" fontId="0" fillId="6" borderId="1" applyAlignment="1" pivotButton="0" quotePrefix="0" xfId="0">
      <alignment horizontal="right"/>
    </xf>
    <xf numFmtId="11" fontId="0" fillId="6" borderId="1" applyAlignment="1" pivotButton="0" quotePrefix="0" xfId="0">
      <alignment horizontal="right"/>
    </xf>
    <xf numFmtId="0" fontId="0" fillId="7" borderId="1" applyAlignment="1" pivotButton="0" quotePrefix="0" xfId="0">
      <alignment horizontal="center"/>
    </xf>
    <xf numFmtId="2" fontId="0" fillId="7" borderId="1" applyAlignment="1" pivotButton="0" quotePrefix="0" xfId="0">
      <alignment horizontal="right"/>
    </xf>
    <xf numFmtId="164" fontId="0" fillId="7" borderId="1" applyAlignment="1" pivotButton="0" quotePrefix="0" xfId="0">
      <alignment horizontal="right"/>
    </xf>
    <xf numFmtId="0" fontId="1" fillId="8" borderId="1" applyAlignment="1" pivotButton="0" quotePrefix="0" xfId="0">
      <alignment horizontal="center"/>
    </xf>
    <xf numFmtId="0" fontId="2" fillId="9" borderId="1" applyAlignment="1" pivotButton="0" quotePrefix="0" xfId="0">
      <alignment horizontal="left"/>
    </xf>
    <xf numFmtId="0" fontId="0" fillId="9" borderId="1" applyAlignment="1" pivotButton="0" quotePrefix="0" xfId="0">
      <alignment horizontal="left"/>
    </xf>
    <xf numFmtId="0" fontId="1" fillId="10" borderId="1" applyAlignment="1" pivotButton="0" quotePrefix="0" xfId="0">
      <alignment horizontal="center"/>
    </xf>
    <xf numFmtId="0" fontId="1" fillId="10" borderId="1" applyAlignment="1" pivotButton="0" quotePrefix="0" xfId="0">
      <alignment horizontal="center" vertical="center" wrapText="1"/>
    </xf>
    <xf numFmtId="167" fontId="0" fillId="5" borderId="1" applyAlignment="1" pivotButton="0" quotePrefix="0" xfId="0">
      <alignment horizontal="right"/>
    </xf>
    <xf numFmtId="167" fontId="0" fillId="6" borderId="1" applyAlignment="1" pivotButton="0" quotePrefix="0" xfId="0">
      <alignment horizontal="right"/>
    </xf>
    <xf numFmtId="11" fontId="0" fillId="7" borderId="1" applyAlignment="1" pivotButton="0" quotePrefix="0" xfId="0">
      <alignment horizontal="right"/>
    </xf>
    <xf numFmtId="167" fontId="0" fillId="7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5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4" customWidth="1" min="14" max="14"/>
    <col width="14" customWidth="1" min="15" max="15"/>
    <col width="13" customWidth="1" min="16" max="16"/>
    <col width="13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 ht="36" customHeight="1">
      <c r="A1" s="1" t="inlineStr">
        <is>
          <t>Optics</t>
        </is>
      </c>
      <c r="F1" s="1" t="inlineStr">
        <is>
          <t>Power measured at sample</t>
        </is>
      </c>
      <c r="N1" s="1" t="inlineStr">
        <is>
          <t>Power density at sample</t>
        </is>
      </c>
    </row>
    <row r="2" ht="36" customHeight="1">
      <c r="A2" s="2" t="inlineStr">
        <is>
          <t>λ (nm)</t>
        </is>
      </c>
      <c r="B2" s="2" t="inlineStr">
        <is>
          <t>Obj</t>
        </is>
      </c>
      <c r="C2" s="2" t="inlineStr">
        <is>
          <t>NA</t>
        </is>
      </c>
      <c r="D2" s="2" t="inlineStr">
        <is>
          <t>Spot size
(μm)</t>
        </is>
      </c>
      <c r="E2" s="2" t="inlineStr">
        <is>
          <t>Area
(μm²)</t>
        </is>
      </c>
      <c r="F2" s="2" t="inlineStr">
        <is>
          <t>P (mW)</t>
        </is>
      </c>
      <c r="G2" s="2" t="inlineStr">
        <is>
          <t>P (μW)</t>
        </is>
      </c>
      <c r="H2" s="2" t="inlineStr">
        <is>
          <t>P (μW)</t>
        </is>
      </c>
      <c r="I2" s="2" t="inlineStr">
        <is>
          <t>P (μW)</t>
        </is>
      </c>
      <c r="J2" s="2" t="inlineStr">
        <is>
          <t>P (μW)</t>
        </is>
      </c>
      <c r="K2" s="2" t="inlineStr">
        <is>
          <t>P (μW)</t>
        </is>
      </c>
      <c r="L2" s="2" t="inlineStr">
        <is>
          <t>P (μW)</t>
        </is>
      </c>
      <c r="M2" s="2" t="inlineStr">
        <is>
          <t>P (μW)</t>
        </is>
      </c>
      <c r="N2" s="2" t="inlineStr">
        <is>
          <t>D (mW/μm²)</t>
        </is>
      </c>
      <c r="O2" s="2" t="inlineStr">
        <is>
          <t>D (W/μm²)</t>
        </is>
      </c>
      <c r="P2" s="2" t="inlineStr">
        <is>
          <t>D (W/μm²)</t>
        </is>
      </c>
      <c r="Q2" s="2" t="inlineStr">
        <is>
          <t>D (W/μm²)</t>
        </is>
      </c>
      <c r="R2" s="2" t="inlineStr">
        <is>
          <t>D (W/μm²)</t>
        </is>
      </c>
      <c r="S2" s="2" t="inlineStr">
        <is>
          <t>D (W/μm²)</t>
        </is>
      </c>
      <c r="T2" s="2" t="inlineStr">
        <is>
          <t>D (W/μm²)</t>
        </is>
      </c>
      <c r="U2" s="2" t="inlineStr">
        <is>
          <t>D (W/μm²)</t>
        </is>
      </c>
    </row>
    <row r="3" ht="24" customHeight="1">
      <c r="A3" s="3" t="inlineStr">
        <is>
          <t>—</t>
        </is>
      </c>
      <c r="B3" s="3" t="inlineStr">
        <is>
          <t>—</t>
        </is>
      </c>
      <c r="C3" s="3" t="inlineStr">
        <is>
          <t>—</t>
        </is>
      </c>
      <c r="D3" s="3" t="inlineStr">
        <is>
          <t>—</t>
        </is>
      </c>
      <c r="E3" s="3" t="inlineStr">
        <is>
          <t>—</t>
        </is>
      </c>
      <c r="F3" s="3" t="inlineStr">
        <is>
          <t>100%</t>
        </is>
      </c>
      <c r="G3" s="3" t="inlineStr">
        <is>
          <t>100%</t>
        </is>
      </c>
      <c r="H3" s="3" t="inlineStr">
        <is>
          <t>50%</t>
        </is>
      </c>
      <c r="I3" s="3" t="inlineStr">
        <is>
          <t>25%</t>
        </is>
      </c>
      <c r="J3" s="3" t="inlineStr">
        <is>
          <t>10%</t>
        </is>
      </c>
      <c r="K3" s="3" t="inlineStr">
        <is>
          <t>5%</t>
        </is>
      </c>
      <c r="L3" s="3" t="inlineStr">
        <is>
          <t>2.5%</t>
        </is>
      </c>
      <c r="M3" s="3" t="inlineStr">
        <is>
          <t>1%</t>
        </is>
      </c>
      <c r="N3" s="3" t="inlineStr">
        <is>
          <t>100%</t>
        </is>
      </c>
      <c r="O3" s="3" t="inlineStr">
        <is>
          <t>100%</t>
        </is>
      </c>
      <c r="P3" s="3" t="inlineStr">
        <is>
          <t>50%</t>
        </is>
      </c>
      <c r="Q3" s="3" t="inlineStr">
        <is>
          <t>25%</t>
        </is>
      </c>
      <c r="R3" s="3" t="inlineStr">
        <is>
          <t>10%</t>
        </is>
      </c>
      <c r="S3" s="3" t="inlineStr">
        <is>
          <t>5%</t>
        </is>
      </c>
      <c r="T3" s="3" t="inlineStr">
        <is>
          <t>2.5%</t>
        </is>
      </c>
      <c r="U3" s="3" t="inlineStr">
        <is>
          <t>1%</t>
        </is>
      </c>
    </row>
    <row r="4">
      <c r="A4" s="4" t="n">
        <v>633</v>
      </c>
      <c r="B4" s="4" t="inlineStr">
        <is>
          <t>10x</t>
        </is>
      </c>
      <c r="C4" s="5" t="n">
        <v>0.25</v>
      </c>
      <c r="D4" s="6" t="n">
        <v>3.08904</v>
      </c>
      <c r="E4" s="6" t="n">
        <v>7.4906</v>
      </c>
      <c r="F4" s="7" t="n">
        <v>8.5</v>
      </c>
      <c r="G4" s="7" t="n">
        <v>8500</v>
      </c>
      <c r="H4" s="7" t="n">
        <v>4250</v>
      </c>
      <c r="I4" s="7" t="n">
        <v>2125</v>
      </c>
      <c r="J4" s="7" t="n">
        <v>850</v>
      </c>
      <c r="K4" s="7" t="n">
        <v>425</v>
      </c>
      <c r="L4" s="7" t="n">
        <v>212.5</v>
      </c>
      <c r="M4" s="7" t="n">
        <v>85</v>
      </c>
      <c r="N4" s="8" t="n">
        <v>1.134755</v>
      </c>
      <c r="O4" s="9" t="n">
        <v>0.001134755261039291</v>
      </c>
      <c r="P4" s="9" t="n">
        <v>0.0005673776305196453</v>
      </c>
      <c r="Q4" s="9" t="n">
        <v>0.0002836888152598226</v>
      </c>
      <c r="R4" s="9" t="n">
        <v>0.0001134755261039291</v>
      </c>
      <c r="S4" s="9" t="n">
        <v>5.673776305196453e-05</v>
      </c>
      <c r="T4" s="9" t="n">
        <v>2.836888152598227e-05</v>
      </c>
      <c r="U4" s="9" t="n">
        <v>1.134755261039291e-05</v>
      </c>
    </row>
    <row r="5">
      <c r="A5" s="4" t="inlineStr"/>
      <c r="B5" s="4" t="inlineStr">
        <is>
          <t>50xLF</t>
        </is>
      </c>
      <c r="C5" s="5" t="n">
        <v>0.5</v>
      </c>
      <c r="D5" s="6" t="n">
        <v>1.54452</v>
      </c>
      <c r="E5" s="6" t="n">
        <v>1.87265</v>
      </c>
      <c r="F5" s="4" t="inlineStr">
        <is>
          <t>—</t>
        </is>
      </c>
      <c r="G5" s="4" t="inlineStr">
        <is>
          <t>—</t>
        </is>
      </c>
      <c r="H5" s="4" t="inlineStr">
        <is>
          <t>—</t>
        </is>
      </c>
      <c r="I5" s="4" t="inlineStr">
        <is>
          <t>—</t>
        </is>
      </c>
      <c r="J5" s="4" t="inlineStr">
        <is>
          <t>—</t>
        </is>
      </c>
      <c r="K5" s="4" t="inlineStr">
        <is>
          <t>—</t>
        </is>
      </c>
      <c r="L5" s="4" t="inlineStr">
        <is>
          <t>—</t>
        </is>
      </c>
      <c r="M5" s="4" t="inlineStr">
        <is>
          <t>—</t>
        </is>
      </c>
      <c r="N5" s="4" t="inlineStr">
        <is>
          <t>—</t>
        </is>
      </c>
      <c r="O5" s="4" t="inlineStr">
        <is>
          <t>—</t>
        </is>
      </c>
      <c r="P5" s="4" t="inlineStr">
        <is>
          <t>—</t>
        </is>
      </c>
      <c r="Q5" s="4" t="inlineStr">
        <is>
          <t>—</t>
        </is>
      </c>
      <c r="R5" s="4" t="inlineStr">
        <is>
          <t>—</t>
        </is>
      </c>
      <c r="S5" s="4" t="inlineStr">
        <is>
          <t>—</t>
        </is>
      </c>
      <c r="T5" s="4" t="inlineStr">
        <is>
          <t>—</t>
        </is>
      </c>
      <c r="U5" s="4" t="inlineStr">
        <is>
          <t>—</t>
        </is>
      </c>
    </row>
    <row r="6">
      <c r="A6" s="4" t="inlineStr"/>
      <c r="B6" s="4" t="inlineStr">
        <is>
          <t>50x</t>
        </is>
      </c>
      <c r="C6" s="5" t="n">
        <v>0.75</v>
      </c>
      <c r="D6" s="6" t="n">
        <v>1.02968</v>
      </c>
      <c r="E6" s="6" t="n">
        <v>0.83229</v>
      </c>
      <c r="F6" s="7" t="n">
        <v>7.1</v>
      </c>
      <c r="G6" s="7" t="n">
        <v>7100</v>
      </c>
      <c r="H6" s="7" t="n">
        <v>3550</v>
      </c>
      <c r="I6" s="7" t="n">
        <v>1775</v>
      </c>
      <c r="J6" s="7" t="n">
        <v>710</v>
      </c>
      <c r="K6" s="7" t="n">
        <v>355</v>
      </c>
      <c r="L6" s="7" t="n">
        <v>177.5</v>
      </c>
      <c r="M6" s="7" t="n">
        <v>71</v>
      </c>
      <c r="N6" s="8" t="n">
        <v>8.53069</v>
      </c>
      <c r="O6" s="9" t="n">
        <v>0.008530689550636548</v>
      </c>
      <c r="P6" s="9" t="n">
        <v>0.004265344775318274</v>
      </c>
      <c r="Q6" s="9" t="n">
        <v>0.002132672387659137</v>
      </c>
      <c r="R6" s="9" t="n">
        <v>0.0008530689550636548</v>
      </c>
      <c r="S6" s="9" t="n">
        <v>0.0004265344775318274</v>
      </c>
      <c r="T6" s="9" t="n">
        <v>0.0002132672387659137</v>
      </c>
      <c r="U6" s="9" t="n">
        <v>8.530689550636549e-05</v>
      </c>
    </row>
    <row r="7">
      <c r="A7" s="4" t="inlineStr"/>
      <c r="B7" s="4" t="inlineStr">
        <is>
          <t>100x</t>
        </is>
      </c>
      <c r="C7" s="5" t="n">
        <v>0.9</v>
      </c>
      <c r="D7" s="6" t="n">
        <v>0.85807</v>
      </c>
      <c r="E7" s="6" t="n">
        <v>0.57798</v>
      </c>
      <c r="F7" s="7" t="n">
        <v>1.2</v>
      </c>
      <c r="G7" s="7" t="n">
        <v>1200</v>
      </c>
      <c r="H7" s="7" t="n">
        <v>600</v>
      </c>
      <c r="I7" s="7" t="n">
        <v>300</v>
      </c>
      <c r="J7" s="7" t="n">
        <v>120</v>
      </c>
      <c r="K7" s="7" t="n">
        <v>60</v>
      </c>
      <c r="L7" s="7" t="n">
        <v>30</v>
      </c>
      <c r="M7" s="7" t="n">
        <v>12</v>
      </c>
      <c r="N7" s="8" t="n">
        <v>2.076202</v>
      </c>
      <c r="O7" s="9" t="n">
        <v>0.002076201625845064</v>
      </c>
      <c r="P7" s="9" t="n">
        <v>0.001038100812922532</v>
      </c>
      <c r="Q7" s="9" t="n">
        <v>0.0005190504064612661</v>
      </c>
      <c r="R7" s="9" t="n">
        <v>0.0002076201625845065</v>
      </c>
      <c r="S7" s="9" t="n">
        <v>0.0001038100812922532</v>
      </c>
      <c r="T7" s="9" t="n">
        <v>5.190504064612661e-05</v>
      </c>
      <c r="U7" s="9" t="n">
        <v>2.076201625845064e-05</v>
      </c>
    </row>
    <row r="8">
      <c r="A8" s="10" t="n">
        <v>532</v>
      </c>
      <c r="B8" s="10" t="inlineStr">
        <is>
          <t>10x</t>
        </is>
      </c>
      <c r="C8" s="11" t="n">
        <v>0.25</v>
      </c>
      <c r="D8" s="12" t="n">
        <v>2.59616</v>
      </c>
      <c r="E8" s="12" t="n">
        <v>5.29094</v>
      </c>
      <c r="F8" s="13" t="n">
        <v>2.2</v>
      </c>
      <c r="G8" s="13" t="n">
        <v>2200</v>
      </c>
      <c r="H8" s="13" t="n">
        <v>1100</v>
      </c>
      <c r="I8" s="13" t="n">
        <v>550</v>
      </c>
      <c r="J8" s="13" t="n">
        <v>220</v>
      </c>
      <c r="K8" s="13" t="n">
        <v>110</v>
      </c>
      <c r="L8" s="13" t="n">
        <v>55</v>
      </c>
      <c r="M8" s="13" t="n">
        <v>22</v>
      </c>
      <c r="N8" s="14" t="n">
        <v>0.415805</v>
      </c>
      <c r="O8" s="15" t="n">
        <v>0.0004158053907460184</v>
      </c>
      <c r="P8" s="15" t="n">
        <v>0.0002079026953730092</v>
      </c>
      <c r="Q8" s="15" t="n">
        <v>0.0001039513476865046</v>
      </c>
      <c r="R8" s="15" t="n">
        <v>4.158053907460184e-05</v>
      </c>
      <c r="S8" s="15" t="n">
        <v>2.079026953730092e-05</v>
      </c>
      <c r="T8" s="15" t="n">
        <v>1.039513476865046e-05</v>
      </c>
      <c r="U8" s="15" t="n">
        <v>4.158053907460184e-06</v>
      </c>
    </row>
    <row r="9">
      <c r="A9" s="10" t="inlineStr"/>
      <c r="B9" s="10" t="inlineStr">
        <is>
          <t>50xLF</t>
        </is>
      </c>
      <c r="C9" s="11" t="n">
        <v>0.5</v>
      </c>
      <c r="D9" s="12" t="n">
        <v>1.29808</v>
      </c>
      <c r="E9" s="12" t="n">
        <v>1.32273</v>
      </c>
      <c r="F9" s="13" t="n">
        <v>1</v>
      </c>
      <c r="G9" s="13" t="n">
        <v>1000</v>
      </c>
      <c r="H9" s="13" t="n">
        <v>500</v>
      </c>
      <c r="I9" s="13" t="n">
        <v>250</v>
      </c>
      <c r="J9" s="13" t="n">
        <v>100</v>
      </c>
      <c r="K9" s="13" t="n">
        <v>50</v>
      </c>
      <c r="L9" s="13" t="n">
        <v>25</v>
      </c>
      <c r="M9" s="13" t="n">
        <v>10</v>
      </c>
      <c r="N9" s="14" t="n">
        <v>0.75601</v>
      </c>
      <c r="O9" s="15" t="n">
        <v>0.000756009801356397</v>
      </c>
      <c r="P9" s="15" t="n">
        <v>0.0003780049006781985</v>
      </c>
      <c r="Q9" s="15" t="n">
        <v>0.0001890024503390993</v>
      </c>
      <c r="R9" s="15" t="n">
        <v>7.56009801356397e-05</v>
      </c>
      <c r="S9" s="15" t="n">
        <v>3.780049006781985e-05</v>
      </c>
      <c r="T9" s="15" t="n">
        <v>1.890024503390993e-05</v>
      </c>
      <c r="U9" s="15" t="n">
        <v>7.56009801356397e-06</v>
      </c>
    </row>
    <row r="10">
      <c r="A10" s="10" t="inlineStr"/>
      <c r="B10" s="10" t="inlineStr">
        <is>
          <t>50x</t>
        </is>
      </c>
      <c r="C10" s="11" t="n">
        <v>0.75</v>
      </c>
      <c r="D10" s="12" t="n">
        <v>0.86539</v>
      </c>
      <c r="E10" s="12" t="n">
        <v>0.58788</v>
      </c>
      <c r="F10" s="13" t="n">
        <v>1.27</v>
      </c>
      <c r="G10" s="13" t="n">
        <v>1270</v>
      </c>
      <c r="H10" s="13" t="n">
        <v>635</v>
      </c>
      <c r="I10" s="13" t="n">
        <v>317.5</v>
      </c>
      <c r="J10" s="13" t="n">
        <v>127</v>
      </c>
      <c r="K10" s="13" t="n">
        <v>63.5</v>
      </c>
      <c r="L10" s="13" t="n">
        <v>31.75</v>
      </c>
      <c r="M10" s="13" t="n">
        <v>12.7</v>
      </c>
      <c r="N10" s="14" t="n">
        <v>2.160298</v>
      </c>
      <c r="O10" s="15" t="n">
        <v>0.002160298007375904</v>
      </c>
      <c r="P10" s="15" t="n">
        <v>0.001080149003687952</v>
      </c>
      <c r="Q10" s="15" t="n">
        <v>0.0005400745018439761</v>
      </c>
      <c r="R10" s="15" t="n">
        <v>0.0002160298007375905</v>
      </c>
      <c r="S10" s="15" t="n">
        <v>0.0001080149003687952</v>
      </c>
      <c r="T10" s="15" t="n">
        <v>5.400745018439761e-05</v>
      </c>
      <c r="U10" s="15" t="n">
        <v>2.160298007375904e-05</v>
      </c>
    </row>
    <row r="11">
      <c r="A11" s="10" t="inlineStr"/>
      <c r="B11" s="10" t="inlineStr">
        <is>
          <t>100x</t>
        </is>
      </c>
      <c r="C11" s="11" t="n">
        <v>0.9</v>
      </c>
      <c r="D11" s="12" t="n">
        <v>0.72116</v>
      </c>
      <c r="E11" s="12" t="n">
        <v>0.40825</v>
      </c>
      <c r="F11" s="13" t="n">
        <v>0.52</v>
      </c>
      <c r="G11" s="13" t="n">
        <v>520</v>
      </c>
      <c r="H11" s="13" t="n">
        <v>260</v>
      </c>
      <c r="I11" s="13" t="n">
        <v>130</v>
      </c>
      <c r="J11" s="13" t="n">
        <v>52</v>
      </c>
      <c r="K11" s="13" t="n">
        <v>26</v>
      </c>
      <c r="L11" s="13" t="n">
        <v>13</v>
      </c>
      <c r="M11" s="13" t="n">
        <v>5.2</v>
      </c>
      <c r="N11" s="14" t="n">
        <v>1.273725</v>
      </c>
      <c r="O11" s="15" t="n">
        <v>0.001273725313325258</v>
      </c>
      <c r="P11" s="15" t="n">
        <v>0.000636862656662629</v>
      </c>
      <c r="Q11" s="15" t="n">
        <v>0.0003184313283313145</v>
      </c>
      <c r="R11" s="15" t="n">
        <v>0.0001273725313325258</v>
      </c>
      <c r="S11" s="15" t="n">
        <v>6.36862656662629e-05</v>
      </c>
      <c r="T11" s="15" t="n">
        <v>3.184313283313145e-05</v>
      </c>
      <c r="U11" s="15" t="n">
        <v>1.273725313325258e-05</v>
      </c>
    </row>
    <row r="12">
      <c r="A12" s="16" t="n">
        <v>473</v>
      </c>
      <c r="B12" s="16" t="inlineStr">
        <is>
          <t>10x</t>
        </is>
      </c>
      <c r="C12" s="17" t="n">
        <v>0.25</v>
      </c>
      <c r="D12" s="18" t="n">
        <v>2.30824</v>
      </c>
      <c r="E12" s="18" t="n">
        <v>4.18246</v>
      </c>
      <c r="F12" s="16" t="inlineStr">
        <is>
          <t>—</t>
        </is>
      </c>
      <c r="G12" s="16" t="inlineStr">
        <is>
          <t>—</t>
        </is>
      </c>
      <c r="H12" s="16" t="inlineStr">
        <is>
          <t>—</t>
        </is>
      </c>
      <c r="I12" s="16" t="inlineStr">
        <is>
          <t>—</t>
        </is>
      </c>
      <c r="J12" s="16" t="inlineStr">
        <is>
          <t>—</t>
        </is>
      </c>
      <c r="K12" s="16" t="inlineStr">
        <is>
          <t>—</t>
        </is>
      </c>
      <c r="L12" s="16" t="inlineStr">
        <is>
          <t>—</t>
        </is>
      </c>
      <c r="M12" s="16" t="inlineStr">
        <is>
          <t>—</t>
        </is>
      </c>
      <c r="N12" s="16" t="inlineStr">
        <is>
          <t>—</t>
        </is>
      </c>
      <c r="O12" s="16" t="inlineStr">
        <is>
          <t>—</t>
        </is>
      </c>
      <c r="P12" s="16" t="inlineStr">
        <is>
          <t>—</t>
        </is>
      </c>
      <c r="Q12" s="16" t="inlineStr">
        <is>
          <t>—</t>
        </is>
      </c>
      <c r="R12" s="16" t="inlineStr">
        <is>
          <t>—</t>
        </is>
      </c>
      <c r="S12" s="16" t="inlineStr">
        <is>
          <t>—</t>
        </is>
      </c>
      <c r="T12" s="16" t="inlineStr">
        <is>
          <t>—</t>
        </is>
      </c>
      <c r="U12" s="16" t="inlineStr">
        <is>
          <t>—</t>
        </is>
      </c>
    </row>
    <row r="13">
      <c r="A13" s="16" t="inlineStr"/>
      <c r="B13" s="16" t="inlineStr">
        <is>
          <t>50xLF</t>
        </is>
      </c>
      <c r="C13" s="17" t="n">
        <v>0.5</v>
      </c>
      <c r="D13" s="18" t="n">
        <v>1.15412</v>
      </c>
      <c r="E13" s="18" t="n">
        <v>1.04561</v>
      </c>
      <c r="F13" s="16" t="inlineStr">
        <is>
          <t>—</t>
        </is>
      </c>
      <c r="G13" s="16" t="inlineStr">
        <is>
          <t>—</t>
        </is>
      </c>
      <c r="H13" s="16" t="inlineStr">
        <is>
          <t>—</t>
        </is>
      </c>
      <c r="I13" s="16" t="inlineStr">
        <is>
          <t>—</t>
        </is>
      </c>
      <c r="J13" s="16" t="inlineStr">
        <is>
          <t>—</t>
        </is>
      </c>
      <c r="K13" s="16" t="inlineStr">
        <is>
          <t>—</t>
        </is>
      </c>
      <c r="L13" s="16" t="inlineStr">
        <is>
          <t>—</t>
        </is>
      </c>
      <c r="M13" s="16" t="inlineStr">
        <is>
          <t>—</t>
        </is>
      </c>
      <c r="N13" s="16" t="inlineStr">
        <is>
          <t>—</t>
        </is>
      </c>
      <c r="O13" s="16" t="inlineStr">
        <is>
          <t>—</t>
        </is>
      </c>
      <c r="P13" s="16" t="inlineStr">
        <is>
          <t>—</t>
        </is>
      </c>
      <c r="Q13" s="16" t="inlineStr">
        <is>
          <t>—</t>
        </is>
      </c>
      <c r="R13" s="16" t="inlineStr">
        <is>
          <t>—</t>
        </is>
      </c>
      <c r="S13" s="16" t="inlineStr">
        <is>
          <t>—</t>
        </is>
      </c>
      <c r="T13" s="16" t="inlineStr">
        <is>
          <t>—</t>
        </is>
      </c>
      <c r="U13" s="16" t="inlineStr">
        <is>
          <t>—</t>
        </is>
      </c>
    </row>
    <row r="14">
      <c r="A14" s="16" t="inlineStr"/>
      <c r="B14" s="16" t="inlineStr">
        <is>
          <t>50x</t>
        </is>
      </c>
      <c r="C14" s="17" t="n">
        <v>0.75</v>
      </c>
      <c r="D14" s="18" t="n">
        <v>0.76941</v>
      </c>
      <c r="E14" s="18" t="n">
        <v>0.46472</v>
      </c>
      <c r="F14" s="16" t="inlineStr">
        <is>
          <t>—</t>
        </is>
      </c>
      <c r="G14" s="16" t="inlineStr">
        <is>
          <t>—</t>
        </is>
      </c>
      <c r="H14" s="16" t="inlineStr">
        <is>
          <t>—</t>
        </is>
      </c>
      <c r="I14" s="16" t="inlineStr">
        <is>
          <t>—</t>
        </is>
      </c>
      <c r="J14" s="16" t="inlineStr">
        <is>
          <t>—</t>
        </is>
      </c>
      <c r="K14" s="16" t="inlineStr">
        <is>
          <t>—</t>
        </is>
      </c>
      <c r="L14" s="16" t="inlineStr">
        <is>
          <t>—</t>
        </is>
      </c>
      <c r="M14" s="16" t="inlineStr">
        <is>
          <t>—</t>
        </is>
      </c>
      <c r="N14" s="16" t="inlineStr">
        <is>
          <t>—</t>
        </is>
      </c>
      <c r="O14" s="16" t="inlineStr">
        <is>
          <t>—</t>
        </is>
      </c>
      <c r="P14" s="16" t="inlineStr">
        <is>
          <t>—</t>
        </is>
      </c>
      <c r="Q14" s="16" t="inlineStr">
        <is>
          <t>—</t>
        </is>
      </c>
      <c r="R14" s="16" t="inlineStr">
        <is>
          <t>—</t>
        </is>
      </c>
      <c r="S14" s="16" t="inlineStr">
        <is>
          <t>—</t>
        </is>
      </c>
      <c r="T14" s="16" t="inlineStr">
        <is>
          <t>—</t>
        </is>
      </c>
      <c r="U14" s="16" t="inlineStr">
        <is>
          <t>—</t>
        </is>
      </c>
    </row>
    <row r="15">
      <c r="A15" s="16" t="inlineStr"/>
      <c r="B15" s="16" t="inlineStr">
        <is>
          <t>100x</t>
        </is>
      </c>
      <c r="C15" s="17" t="n">
        <v>0.9</v>
      </c>
      <c r="D15" s="18" t="n">
        <v>0.64118</v>
      </c>
      <c r="E15" s="18" t="n">
        <v>0.32272</v>
      </c>
      <c r="F15" s="16" t="inlineStr">
        <is>
          <t>—</t>
        </is>
      </c>
      <c r="G15" s="16" t="inlineStr">
        <is>
          <t>—</t>
        </is>
      </c>
      <c r="H15" s="16" t="inlineStr">
        <is>
          <t>—</t>
        </is>
      </c>
      <c r="I15" s="16" t="inlineStr">
        <is>
          <t>—</t>
        </is>
      </c>
      <c r="J15" s="16" t="inlineStr">
        <is>
          <t>—</t>
        </is>
      </c>
      <c r="K15" s="16" t="inlineStr">
        <is>
          <t>—</t>
        </is>
      </c>
      <c r="L15" s="16" t="inlineStr">
        <is>
          <t>—</t>
        </is>
      </c>
      <c r="M15" s="16" t="inlineStr">
        <is>
          <t>—</t>
        </is>
      </c>
      <c r="N15" s="16" t="inlineStr">
        <is>
          <t>—</t>
        </is>
      </c>
      <c r="O15" s="16" t="inlineStr">
        <is>
          <t>—</t>
        </is>
      </c>
      <c r="P15" s="16" t="inlineStr">
        <is>
          <t>—</t>
        </is>
      </c>
      <c r="Q15" s="16" t="inlineStr">
        <is>
          <t>—</t>
        </is>
      </c>
      <c r="R15" s="16" t="inlineStr">
        <is>
          <t>—</t>
        </is>
      </c>
      <c r="S15" s="16" t="inlineStr">
        <is>
          <t>—</t>
        </is>
      </c>
      <c r="T15" s="16" t="inlineStr">
        <is>
          <t>—</t>
        </is>
      </c>
      <c r="U15" s="16" t="inlineStr">
        <is>
          <t>—</t>
        </is>
      </c>
    </row>
    <row r="17" ht="6" customHeight="1"/>
    <row r="18">
      <c r="A18" s="19" t="inlineStr">
        <is>
          <t>FORMULAS USED</t>
        </is>
      </c>
    </row>
    <row r="19">
      <c r="A19" s="20" t="inlineStr">
        <is>
          <t>Spot size (μm)</t>
        </is>
      </c>
      <c r="D19" s="21">
        <f> 1.22 × λ(nm) / NA × 10⁻³   [Rayleigh criterion for diffraction-limited spot diameter]</f>
        <v/>
      </c>
    </row>
    <row r="20">
      <c r="A20" s="20" t="inlineStr">
        <is>
          <t>Area (μm²)</t>
        </is>
      </c>
      <c r="D20" s="21">
        <f> π × (d/2)²  ≈  3.14 × d² / 4   [circular spot area; d = spot diameter in μm]</f>
        <v/>
      </c>
    </row>
    <row r="21">
      <c r="A21" s="20" t="inlineStr">
        <is>
          <t>Power density</t>
        </is>
      </c>
      <c r="D21" s="21">
        <f> P_measured (mW) / Area (μm²)  →  mW/μm²;  ×10⁻³ → W/μm²</f>
        <v/>
      </c>
    </row>
    <row r="22">
      <c r="A22" s="20" t="inlineStr">
        <is>
          <t>Fractional P</t>
        </is>
      </c>
      <c r="D22" s="21">
        <f> P_100% × fraction   (50 %, 25 %, 10 %, 5 %, 2.5 %, 1 %)</f>
        <v/>
      </c>
    </row>
    <row r="24">
      <c r="A24" s="22" t="inlineStr">
        <is>
          <t>POWER NEEDED TO ACHIEVE REFERENCE DENSITIES  (Annalisa Nanotechnology 2018)   ─   P = D_target × Area</t>
        </is>
      </c>
    </row>
    <row r="25" ht="36" customHeight="1">
      <c r="A25" s="23" t="inlineStr">
        <is>
          <t>λ (nm)</t>
        </is>
      </c>
      <c r="B25" s="23" t="inlineStr">
        <is>
          <t>Obj</t>
        </is>
      </c>
      <c r="C25" s="23" t="inlineStr">
        <is>
          <t>NA</t>
        </is>
      </c>
      <c r="D25" s="23" t="inlineStr">
        <is>
          <t>Area (μm²)</t>
        </is>
      </c>
      <c r="E25" s="23" t="inlineStr">
        <is>
          <t>P_max (W)
7.2×10⁻⁸ W/μm²</t>
        </is>
      </c>
      <c r="F25" s="23" t="inlineStr">
        <is>
          <t>P_max (μW)</t>
        </is>
      </c>
      <c r="G25" s="23" t="inlineStr">
        <is>
          <t>P_min (W)
5×10⁻⁹ W/μm²</t>
        </is>
      </c>
      <c r="H25" s="23" t="inlineStr">
        <is>
          <t>P_min (μW)</t>
        </is>
      </c>
      <c r="I25" s="23" t="inlineStr">
        <is>
          <t>P_ctrl (W)
2.8×10⁻⁸ W/μm²</t>
        </is>
      </c>
      <c r="J25" s="23" t="inlineStr">
        <is>
          <t>P_ctrl (μW)</t>
        </is>
      </c>
    </row>
    <row r="26">
      <c r="A26" s="4" t="n">
        <v>633</v>
      </c>
      <c r="B26" s="4" t="inlineStr">
        <is>
          <t>10x</t>
        </is>
      </c>
      <c r="C26" s="5" t="n">
        <v>0.25</v>
      </c>
      <c r="D26" s="6" t="n">
        <v>7.4906</v>
      </c>
      <c r="E26" s="9" t="n">
        <v>5.39323342232832e-07</v>
      </c>
      <c r="F26" s="24" t="n">
        <v>0.5393233422328321</v>
      </c>
      <c r="G26" s="9" t="n">
        <v>3.745300987728001e-08</v>
      </c>
      <c r="H26" s="24" t="n">
        <v>0.03745300987728001</v>
      </c>
      <c r="I26" s="9" t="n">
        <v>2.09736855312768e-07</v>
      </c>
      <c r="J26" s="24" t="n">
        <v>0.209736855312768</v>
      </c>
    </row>
    <row r="27">
      <c r="A27" s="4" t="inlineStr"/>
      <c r="B27" s="4" t="inlineStr">
        <is>
          <t>50xLF</t>
        </is>
      </c>
      <c r="C27" s="5" t="n">
        <v>0.5</v>
      </c>
      <c r="D27" s="6" t="n">
        <v>1.87265</v>
      </c>
      <c r="E27" s="9" t="n">
        <v>1.34830835558208e-07</v>
      </c>
      <c r="F27" s="24" t="n">
        <v>0.134830835558208</v>
      </c>
      <c r="G27" s="9" t="n">
        <v>9.363252469320002e-09</v>
      </c>
      <c r="H27" s="24" t="n">
        <v>0.009363252469320002</v>
      </c>
      <c r="I27" s="9" t="n">
        <v>5.243421382819201e-08</v>
      </c>
      <c r="J27" s="24" t="n">
        <v>0.05243421382819201</v>
      </c>
    </row>
    <row r="28">
      <c r="A28" s="4" t="inlineStr"/>
      <c r="B28" s="4" t="inlineStr">
        <is>
          <t>50x</t>
        </is>
      </c>
      <c r="C28" s="5" t="n">
        <v>0.75</v>
      </c>
      <c r="D28" s="6" t="n">
        <v>0.83229</v>
      </c>
      <c r="E28" s="9" t="n">
        <v>5.992481580364802e-08</v>
      </c>
      <c r="F28" s="24" t="n">
        <v>0.05992481580364802</v>
      </c>
      <c r="G28" s="9" t="n">
        <v>4.161445541920001e-09</v>
      </c>
      <c r="H28" s="24" t="n">
        <v>0.004161445541920001</v>
      </c>
      <c r="I28" s="9" t="n">
        <v>2.330409503475201e-08</v>
      </c>
      <c r="J28" s="24" t="n">
        <v>0.02330409503475201</v>
      </c>
    </row>
    <row r="29">
      <c r="A29" s="4" t="inlineStr"/>
      <c r="B29" s="4" t="inlineStr">
        <is>
          <t>100x</t>
        </is>
      </c>
      <c r="C29" s="5" t="n">
        <v>0.9</v>
      </c>
      <c r="D29" s="6" t="n">
        <v>0.57798</v>
      </c>
      <c r="E29" s="9" t="n">
        <v>4.161445541919999e-08</v>
      </c>
      <c r="F29" s="24" t="n">
        <v>0.0416144554192</v>
      </c>
      <c r="G29" s="9" t="n">
        <v>2.889892737444445e-09</v>
      </c>
      <c r="H29" s="24" t="n">
        <v>0.002889892737444445</v>
      </c>
      <c r="I29" s="9" t="n">
        <v>1.618339932968889e-08</v>
      </c>
      <c r="J29" s="24" t="n">
        <v>0.01618339932968889</v>
      </c>
    </row>
    <row r="30">
      <c r="A30" s="10" t="n">
        <v>532</v>
      </c>
      <c r="B30" s="10" t="inlineStr">
        <is>
          <t>10x</t>
        </is>
      </c>
      <c r="C30" s="11" t="n">
        <v>0.25</v>
      </c>
      <c r="D30" s="12" t="n">
        <v>5.29094</v>
      </c>
      <c r="E30" s="15" t="n">
        <v>3.80947442061312e-07</v>
      </c>
      <c r="F30" s="25" t="n">
        <v>0.380947442061312</v>
      </c>
      <c r="G30" s="15" t="n">
        <v>2.645468347648e-08</v>
      </c>
      <c r="H30" s="25" t="n">
        <v>0.02645468347648</v>
      </c>
      <c r="I30" s="15" t="n">
        <v>1.48146227468288e-07</v>
      </c>
      <c r="J30" s="25" t="n">
        <v>0.148146227468288</v>
      </c>
    </row>
    <row r="31">
      <c r="A31" s="10" t="inlineStr"/>
      <c r="B31" s="10" t="inlineStr">
        <is>
          <t>50xLF</t>
        </is>
      </c>
      <c r="C31" s="11" t="n">
        <v>0.5</v>
      </c>
      <c r="D31" s="12" t="n">
        <v>1.32273</v>
      </c>
      <c r="E31" s="15" t="n">
        <v>9.523686051532799e-08</v>
      </c>
      <c r="F31" s="25" t="n">
        <v>0.095236860515328</v>
      </c>
      <c r="G31" s="15" t="n">
        <v>6.61367086912e-09</v>
      </c>
      <c r="H31" s="25" t="n">
        <v>0.00661367086912</v>
      </c>
      <c r="I31" s="15" t="n">
        <v>3.7036556867072e-08</v>
      </c>
      <c r="J31" s="25" t="n">
        <v>0.037036556867072</v>
      </c>
    </row>
    <row r="32">
      <c r="A32" s="10" t="inlineStr"/>
      <c r="B32" s="10" t="inlineStr">
        <is>
          <t>50x</t>
        </is>
      </c>
      <c r="C32" s="11" t="n">
        <v>0.75</v>
      </c>
      <c r="D32" s="12" t="n">
        <v>0.58788</v>
      </c>
      <c r="E32" s="15" t="n">
        <v>4.232749356236799e-08</v>
      </c>
      <c r="F32" s="25" t="n">
        <v>0.04232749356236799</v>
      </c>
      <c r="G32" s="15" t="n">
        <v>2.939409275164444e-09</v>
      </c>
      <c r="H32" s="25" t="n">
        <v>0.002939409275164444</v>
      </c>
      <c r="I32" s="15" t="n">
        <v>1.646069194092089e-08</v>
      </c>
      <c r="J32" s="25" t="n">
        <v>0.01646069194092089</v>
      </c>
    </row>
    <row r="33">
      <c r="A33" s="10" t="inlineStr"/>
      <c r="B33" s="10" t="inlineStr">
        <is>
          <t>100x</t>
        </is>
      </c>
      <c r="C33" s="11" t="n">
        <v>0.9</v>
      </c>
      <c r="D33" s="12" t="n">
        <v>0.40825</v>
      </c>
      <c r="E33" s="15" t="n">
        <v>2.939409275164444e-08</v>
      </c>
      <c r="F33" s="25" t="n">
        <v>0.02939409275164443</v>
      </c>
      <c r="G33" s="15" t="n">
        <v>2.041256441086419e-09</v>
      </c>
      <c r="H33" s="25" t="n">
        <v>0.00204125644108642</v>
      </c>
      <c r="I33" s="15" t="n">
        <v>1.143103607008395e-08</v>
      </c>
      <c r="J33" s="25" t="n">
        <v>0.01143103607008395</v>
      </c>
    </row>
    <row r="34">
      <c r="A34" s="16" t="n">
        <v>473</v>
      </c>
      <c r="B34" s="16" t="inlineStr">
        <is>
          <t>10x</t>
        </is>
      </c>
      <c r="C34" s="17" t="n">
        <v>0.25</v>
      </c>
      <c r="D34" s="18" t="n">
        <v>4.18246</v>
      </c>
      <c r="E34" s="26" t="n">
        <v>3.011369716523519e-07</v>
      </c>
      <c r="F34" s="27" t="n">
        <v>0.3011369716523519</v>
      </c>
      <c r="G34" s="26" t="n">
        <v>2.091228969807999e-08</v>
      </c>
      <c r="H34" s="27" t="n">
        <v>0.02091228969807999</v>
      </c>
      <c r="I34" s="26" t="n">
        <v>1.17108822309248e-07</v>
      </c>
      <c r="J34" s="27" t="n">
        <v>0.1171088223092479</v>
      </c>
    </row>
    <row r="35">
      <c r="A35" s="16" t="inlineStr"/>
      <c r="B35" s="16" t="inlineStr">
        <is>
          <t>50xLF</t>
        </is>
      </c>
      <c r="C35" s="17" t="n">
        <v>0.5</v>
      </c>
      <c r="D35" s="18" t="n">
        <v>1.04561</v>
      </c>
      <c r="E35" s="26" t="n">
        <v>7.528424291308797e-08</v>
      </c>
      <c r="F35" s="27" t="n">
        <v>0.07528424291308797</v>
      </c>
      <c r="G35" s="26" t="n">
        <v>5.228072424519999e-09</v>
      </c>
      <c r="H35" s="27" t="n">
        <v>0.005228072424519998</v>
      </c>
      <c r="I35" s="26" t="n">
        <v>2.927720557731199e-08</v>
      </c>
      <c r="J35" s="27" t="n">
        <v>0.02927720557731199</v>
      </c>
    </row>
    <row r="36">
      <c r="A36" s="16" t="inlineStr"/>
      <c r="B36" s="16" t="inlineStr">
        <is>
          <t>50x</t>
        </is>
      </c>
      <c r="C36" s="17" t="n">
        <v>0.75</v>
      </c>
      <c r="D36" s="18" t="n">
        <v>0.46472</v>
      </c>
      <c r="E36" s="26" t="n">
        <v>3.3459663516928e-08</v>
      </c>
      <c r="F36" s="27" t="n">
        <v>0.033459663516928</v>
      </c>
      <c r="G36" s="26" t="n">
        <v>2.323587744231111e-09</v>
      </c>
      <c r="H36" s="27" t="n">
        <v>0.002323587744231111</v>
      </c>
      <c r="I36" s="26" t="n">
        <v>1.301209136769422e-08</v>
      </c>
      <c r="J36" s="27" t="n">
        <v>0.01301209136769422</v>
      </c>
    </row>
    <row r="37">
      <c r="A37" s="16" t="inlineStr"/>
      <c r="B37" s="16" t="inlineStr">
        <is>
          <t>100x</t>
        </is>
      </c>
      <c r="C37" s="17" t="n">
        <v>0.9</v>
      </c>
      <c r="D37" s="18" t="n">
        <v>0.32272</v>
      </c>
      <c r="E37" s="26" t="n">
        <v>2.323587744231111e-08</v>
      </c>
      <c r="F37" s="27" t="n">
        <v>0.02323587744231111</v>
      </c>
      <c r="G37" s="26" t="n">
        <v>1.613602600160494e-09</v>
      </c>
      <c r="H37" s="27" t="n">
        <v>0.001613602600160494</v>
      </c>
      <c r="I37" s="26" t="n">
        <v>9.036174560898764e-09</v>
      </c>
      <c r="J37" s="27" t="n">
        <v>0.009036174560898764</v>
      </c>
    </row>
  </sheetData>
  <mergeCells count="13">
    <mergeCell ref="D20:U20"/>
    <mergeCell ref="A20:C20"/>
    <mergeCell ref="N1:U1"/>
    <mergeCell ref="A19:C19"/>
    <mergeCell ref="D21:U21"/>
    <mergeCell ref="A24:U24"/>
    <mergeCell ref="D19:U19"/>
    <mergeCell ref="A22:C22"/>
    <mergeCell ref="A1:E1"/>
    <mergeCell ref="D22:U22"/>
    <mergeCell ref="A21:C21"/>
    <mergeCell ref="A18:U18"/>
    <mergeCell ref="F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2026-05-28T08:18:12Z</dcterms:created>
  <dcterms:modified xsi:type="dcterms:W3CDTF">2026-05-28T08:18:12Z</dcterms:modified>
</cp:coreProperties>
</file>